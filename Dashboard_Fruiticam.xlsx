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Générale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Régions" sheetId="3" state="visible" r:id="rId3"/>
    <sheet xmlns:r="http://schemas.openxmlformats.org/officeDocument/2006/relationships" name="Canaux de Vente" sheetId="4" state="visible" r:id="rId4"/>
    <sheet xmlns:r="http://schemas.openxmlformats.org/officeDocument/2006/relationships" name="Données" sheetId="5" state="visible" r:id="rId5"/>
    <sheet xmlns:r="http://schemas.openxmlformats.org/officeDocument/2006/relationships" name="CA Mensu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AAAA"/>
      <sz val="10"/>
    </font>
    <font>
      <name val="Arial"/>
      <b val="1"/>
      <color rgb="00006633"/>
      <sz val="10"/>
    </font>
    <font>
      <name val="Arial"/>
      <b val="1"/>
      <color rgb="00FFFFFF"/>
      <sz val="10"/>
    </font>
    <font>
      <name val="Arial"/>
      <color rgb="001A2E22"/>
      <sz val="10"/>
    </font>
    <font>
      <name val="Arial"/>
      <b val="1"/>
      <color rgb="001A2E22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006633"/>
      </patternFill>
    </fill>
    <fill>
      <patternFill patternType="solid">
        <fgColor rgb="00E8F5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E4D8"/>
      </left>
      <right style="thin">
        <color rgb="00D0E4D8"/>
      </right>
      <top style="thin">
        <color rgb="00D0E4D8"/>
      </top>
      <bottom style="thin">
        <color rgb="00D0E4D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1" t="inlineStr">
        <is>
          <t>🍹 BOOST FRUITICAM — Dashboard Commercial 2023–2025</t>
        </is>
      </c>
    </row>
    <row r="2" ht="20" customHeight="1">
      <c r="A2" s="2" t="inlineStr">
        <is>
          <t>ENCG Settat · Université Hassan 1er · 5 000 transactions</t>
        </is>
      </c>
    </row>
    <row r="4" ht="22" customHeight="1">
      <c r="A4" s="3" t="inlineStr">
        <is>
          <t>INDICATEURS CLÉS GLOBAUX</t>
        </is>
      </c>
    </row>
    <row r="5">
      <c r="A5" s="4" t="inlineStr">
        <is>
          <t>Indicateur</t>
        </is>
      </c>
      <c r="B5" s="4" t="inlineStr">
        <is>
          <t>Valeur</t>
        </is>
      </c>
      <c r="C5" s="4" t="inlineStr">
        <is>
          <t>Unité / Note</t>
        </is>
      </c>
    </row>
    <row r="6">
      <c r="A6" s="5" t="inlineStr">
        <is>
          <t>Chiffre d'Affaires Total</t>
        </is>
      </c>
      <c r="B6" s="6" t="inlineStr">
        <is>
          <t>27 217 050</t>
        </is>
      </c>
      <c r="C6" s="7" t="inlineStr">
        <is>
          <t>FCFA · 2023–2025</t>
        </is>
      </c>
    </row>
    <row r="7">
      <c r="A7" s="8" t="inlineStr">
        <is>
          <t>Total Commandes</t>
        </is>
      </c>
      <c r="B7" s="9" t="inlineStr">
        <is>
          <t>5 000</t>
        </is>
      </c>
      <c r="C7" s="10" t="inlineStr">
        <is>
          <t>Transactions enregistrées</t>
        </is>
      </c>
    </row>
    <row r="8">
      <c r="A8" s="5" t="inlineStr">
        <is>
          <t>Quantité Totale Vendue</t>
        </is>
      </c>
      <c r="B8" s="6" t="inlineStr">
        <is>
          <t>31 353</t>
        </is>
      </c>
      <c r="C8" s="7" t="inlineStr">
        <is>
          <t>Unités écoulées</t>
        </is>
      </c>
    </row>
    <row r="9">
      <c r="A9" s="8" t="inlineStr">
        <is>
          <t>Panier Moyen</t>
        </is>
      </c>
      <c r="B9" s="9" t="inlineStr">
        <is>
          <t>5 443</t>
        </is>
      </c>
      <c r="C9" s="10" t="inlineStr">
        <is>
          <t>FCFA par commande</t>
        </is>
      </c>
    </row>
    <row r="10">
      <c r="A10" s="5" t="inlineStr">
        <is>
          <t>Top Produit</t>
        </is>
      </c>
      <c r="B10" s="6" t="inlineStr">
        <is>
          <t>Jus de Mangue</t>
        </is>
      </c>
      <c r="C10" s="7" t="inlineStr">
        <is>
          <t>7 853 578 FCFA de CA</t>
        </is>
      </c>
    </row>
    <row r="11">
      <c r="A11" s="8" t="inlineStr">
        <is>
          <t>Croissance 2023→2024</t>
        </is>
      </c>
      <c r="B11" s="9" t="inlineStr">
        <is>
          <t>+5,2%</t>
        </is>
      </c>
      <c r="C11" s="10" t="inlineStr">
        <is>
          <t>Ralenti à +0,4% en 2025</t>
        </is>
      </c>
    </row>
    <row r="13" ht="22" customHeight="1">
      <c r="A13" s="3" t="inlineStr">
        <is>
          <t>CA PAR ANNÉE</t>
        </is>
      </c>
    </row>
    <row r="14">
      <c r="A14" s="4" t="inlineStr">
        <is>
          <t>Année</t>
        </is>
      </c>
      <c r="B14" s="4" t="inlineStr">
        <is>
          <t>CA (FCFA)</t>
        </is>
      </c>
      <c r="C14" s="4" t="inlineStr">
        <is>
          <t>% du Total</t>
        </is>
      </c>
      <c r="D14" s="4" t="inlineStr">
        <is>
          <t>Croissance vs N-1</t>
        </is>
      </c>
    </row>
    <row r="15">
      <c r="A15" s="7" t="inlineStr">
        <is>
          <t>2023</t>
        </is>
      </c>
      <c r="B15" s="11" t="n">
        <v>8756325</v>
      </c>
      <c r="C15" s="12">
        <f>B15/SUM($B$15:$B$17)</f>
        <v/>
      </c>
      <c r="D15" s="7" t="inlineStr">
        <is>
          <t>—</t>
        </is>
      </c>
    </row>
    <row r="16">
      <c r="A16" s="10" t="inlineStr">
        <is>
          <t>2024</t>
        </is>
      </c>
      <c r="B16" s="13" t="n">
        <v>9213917</v>
      </c>
      <c r="C16" s="14">
        <f>B16/SUM($B$15:$B$17)</f>
        <v/>
      </c>
      <c r="D16" s="15">
        <f>B16/B15-1</f>
        <v/>
      </c>
    </row>
    <row r="17">
      <c r="A17" s="7" t="inlineStr">
        <is>
          <t>2025</t>
        </is>
      </c>
      <c r="B17" s="11" t="n">
        <v>9246808</v>
      </c>
      <c r="C17" s="12">
        <f>B17/SUM($B$15:$B$17)</f>
        <v/>
      </c>
      <c r="D17" s="16">
        <f>B17/B16-1</f>
        <v/>
      </c>
    </row>
    <row r="18">
      <c r="A18" s="17" t="inlineStr">
        <is>
          <t>TOTAL</t>
        </is>
      </c>
      <c r="B18" s="18">
        <f>SUM(B15:B17)</f>
        <v/>
      </c>
      <c r="C18" s="17" t="inlineStr">
        <is>
          <t>100,0%</t>
        </is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9" t="inlineStr">
        <is>
          <t>🍊 PERFORMANCE PAR PRODUIT</t>
        </is>
      </c>
    </row>
    <row r="3">
      <c r="A3" s="4" t="inlineStr">
        <is>
          <t>Produit</t>
        </is>
      </c>
      <c r="B3" s="4" t="inlineStr">
        <is>
          <t>CA (FCFA)</t>
        </is>
      </c>
      <c r="C3" s="4" t="inlineStr">
        <is>
          <t>% CA Total</t>
        </is>
      </c>
      <c r="D3" s="4" t="inlineStr">
        <is>
          <t>Commandes</t>
        </is>
      </c>
      <c r="E3" s="4" t="inlineStr">
        <is>
          <t>% Commandes</t>
        </is>
      </c>
      <c r="F3" s="4" t="inlineStr">
        <is>
          <t>Quantités</t>
        </is>
      </c>
      <c r="G3" s="4" t="inlineStr">
        <is>
          <t>% Quantités</t>
        </is>
      </c>
    </row>
    <row r="4">
      <c r="A4" s="20" t="inlineStr">
        <is>
          <t>Jus de Mangue</t>
        </is>
      </c>
      <c r="B4" s="21" t="n">
        <v>7853578</v>
      </c>
      <c r="C4" s="12">
        <f>B4/SUM($B$4:$B$9)</f>
        <v/>
      </c>
      <c r="D4" s="21" t="n">
        <v>1273</v>
      </c>
      <c r="E4" s="12">
        <f>D4/SUM($D$4:$D$9)</f>
        <v/>
      </c>
      <c r="F4" s="21" t="n">
        <v>8577</v>
      </c>
      <c r="G4" s="12">
        <f>F4/SUM($F$4:$F$9)</f>
        <v/>
      </c>
    </row>
    <row r="5">
      <c r="A5" s="22" t="inlineStr">
        <is>
          <t>Jus de Papaye</t>
        </is>
      </c>
      <c r="B5" s="23" t="n">
        <v>4856141</v>
      </c>
      <c r="C5" s="14">
        <f>B5/SUM($B$4:$B$9)</f>
        <v/>
      </c>
      <c r="D5" s="23" t="n">
        <v>929</v>
      </c>
      <c r="E5" s="14">
        <f>D5/SUM($D$4:$D$9)</f>
        <v/>
      </c>
      <c r="F5" s="23" t="n">
        <v>5837</v>
      </c>
      <c r="G5" s="14">
        <f>F5/SUM($F$4:$F$9)</f>
        <v/>
      </c>
    </row>
    <row r="6">
      <c r="A6" s="20" t="inlineStr">
        <is>
          <t>Jus d'Ananas</t>
        </is>
      </c>
      <c r="B6" s="21" t="n">
        <v>4097318</v>
      </c>
      <c r="C6" s="12">
        <f>B6/SUM($B$4:$B$9)</f>
        <v/>
      </c>
      <c r="D6" s="21" t="n">
        <v>795</v>
      </c>
      <c r="E6" s="12">
        <f>D6/SUM($D$4:$D$9)</f>
        <v/>
      </c>
      <c r="F6" s="21" t="n">
        <v>5340</v>
      </c>
      <c r="G6" s="12">
        <f>F6/SUM($F$4:$F$9)</f>
        <v/>
      </c>
    </row>
    <row r="7">
      <c r="A7" s="22" t="inlineStr">
        <is>
          <t>Jus Mixte</t>
        </is>
      </c>
      <c r="B7" s="23" t="n">
        <v>4056889</v>
      </c>
      <c r="C7" s="14">
        <f>B7/SUM($B$4:$B$9)</f>
        <v/>
      </c>
      <c r="D7" s="23" t="n">
        <v>579</v>
      </c>
      <c r="E7" s="14">
        <f>D7/SUM($D$4:$D$9)</f>
        <v/>
      </c>
      <c r="F7" s="23" t="n">
        <v>3668</v>
      </c>
      <c r="G7" s="14">
        <f>F7/SUM($F$4:$F$9)</f>
        <v/>
      </c>
    </row>
    <row r="8">
      <c r="A8" s="20" t="inlineStr">
        <is>
          <t>Jus de Gingembre</t>
        </is>
      </c>
      <c r="B8" s="21" t="n">
        <v>3501794</v>
      </c>
      <c r="C8" s="12">
        <f>B8/SUM($B$4:$B$9)</f>
        <v/>
      </c>
      <c r="D8" s="21" t="n">
        <v>749</v>
      </c>
      <c r="E8" s="12">
        <f>D8/SUM($D$4:$D$9)</f>
        <v/>
      </c>
      <c r="F8" s="21" t="n">
        <v>4082</v>
      </c>
      <c r="G8" s="12">
        <f>F8/SUM($F$4:$F$9)</f>
        <v/>
      </c>
    </row>
    <row r="9">
      <c r="A9" s="22" t="inlineStr">
        <is>
          <t>Jus de Goyave</t>
        </is>
      </c>
      <c r="B9" s="23" t="n">
        <v>2851330</v>
      </c>
      <c r="C9" s="14">
        <f>B9/SUM($B$4:$B$9)</f>
        <v/>
      </c>
      <c r="D9" s="23" t="n">
        <v>675</v>
      </c>
      <c r="E9" s="14">
        <f>D9/SUM($D$4:$D$9)</f>
        <v/>
      </c>
      <c r="F9" s="23" t="n">
        <v>3849</v>
      </c>
      <c r="G9" s="14">
        <f>F9/SUM($F$4:$F$9)</f>
        <v/>
      </c>
    </row>
    <row r="10">
      <c r="A10" s="4" t="inlineStr">
        <is>
          <t>TOTAL</t>
        </is>
      </c>
      <c r="B10" s="24">
        <f>SUM(B4:B9)</f>
        <v/>
      </c>
      <c r="C10" s="4" t="inlineStr">
        <is>
          <t>100,0%</t>
        </is>
      </c>
      <c r="D10" s="24">
        <f>SUM(D4:D9)</f>
        <v/>
      </c>
      <c r="E10" s="4" t="inlineStr">
        <is>
          <t>100,0%</t>
        </is>
      </c>
      <c r="F10" s="24">
        <f>SUM(F4:F9)</f>
        <v/>
      </c>
      <c r="G10" s="4" t="inlineStr">
        <is>
          <t>100,0%</t>
        </is>
      </c>
    </row>
    <row r="12" ht="22" customHeight="1">
      <c r="A12" s="3" t="inlineStr">
        <is>
          <t>CA PAR CANAL × PRODUIT (Top 3 Produits)</t>
        </is>
      </c>
    </row>
    <row r="13">
      <c r="A13" s="4" t="inlineStr">
        <is>
          <t>Canal</t>
        </is>
      </c>
      <c r="B13" s="4" t="inlineStr">
        <is>
          <t>Jus de Mangue (FCFA)</t>
        </is>
      </c>
      <c r="C13" s="4" t="inlineStr">
        <is>
          <t>Jus de Papaye (FCFA)</t>
        </is>
      </c>
      <c r="D13" s="4" t="inlineStr">
        <is>
          <t>Jus d'Ananas (FCFA)</t>
        </is>
      </c>
      <c r="E13" s="4" t="inlineStr">
        <is>
          <t>Total Canal (FCFA)</t>
        </is>
      </c>
    </row>
    <row r="14">
      <c r="A14" s="5" t="inlineStr">
        <is>
          <t>Distributeur</t>
        </is>
      </c>
      <c r="B14" s="21" t="n">
        <v>1856991</v>
      </c>
      <c r="C14" s="21" t="n">
        <v>935458</v>
      </c>
      <c r="D14" s="21" t="n">
        <v>1089225</v>
      </c>
      <c r="E14" s="21">
        <f>B14+C14+D14</f>
        <v/>
      </c>
    </row>
    <row r="15">
      <c r="A15" s="8" t="inlineStr">
        <is>
          <t>En ligne</t>
        </is>
      </c>
      <c r="B15" s="23" t="n">
        <v>429780</v>
      </c>
      <c r="C15" s="23" t="n">
        <v>375572</v>
      </c>
      <c r="D15" s="23" t="n">
        <v>143672</v>
      </c>
      <c r="E15" s="23">
        <f>B15+C15+D15</f>
        <v/>
      </c>
    </row>
    <row r="16">
      <c r="A16" s="5" t="inlineStr">
        <is>
          <t>Magasin</t>
        </is>
      </c>
      <c r="B16" s="21" t="n">
        <v>1562073</v>
      </c>
      <c r="C16" s="21" t="n">
        <v>939540</v>
      </c>
      <c r="D16" s="21" t="n">
        <v>755023</v>
      </c>
      <c r="E16" s="21">
        <f>B16+C16+D16</f>
        <v/>
      </c>
    </row>
    <row r="17">
      <c r="A17" s="8" t="inlineStr">
        <is>
          <t>Marché</t>
        </is>
      </c>
      <c r="B17" s="23" t="n">
        <v>2486556</v>
      </c>
      <c r="C17" s="23" t="n">
        <v>1589752</v>
      </c>
      <c r="D17" s="23" t="n">
        <v>1292382</v>
      </c>
      <c r="E17" s="23">
        <f>B17+C17+D17</f>
        <v/>
      </c>
    </row>
    <row r="18">
      <c r="A18" s="5" t="inlineStr">
        <is>
          <t>Supermarché</t>
        </is>
      </c>
      <c r="B18" s="21" t="n">
        <v>1518178</v>
      </c>
      <c r="C18" s="21" t="n">
        <v>1015819</v>
      </c>
      <c r="D18" s="21" t="n">
        <v>817016</v>
      </c>
      <c r="E18" s="21">
        <f>B18+C18+D18</f>
        <v/>
      </c>
    </row>
  </sheetData>
  <mergeCells count="2"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0" customWidth="1" min="4" max="4"/>
    <col width="14" customWidth="1" min="5" max="5"/>
    <col width="8" customWidth="1" min="6" max="6"/>
  </cols>
  <sheetData>
    <row r="1" ht="32" customHeight="1">
      <c r="A1" s="19" t="inlineStr">
        <is>
          <t>🗺️ PERFORMANCE RÉGIONALE</t>
        </is>
      </c>
    </row>
    <row r="3">
      <c r="A3" s="4" t="inlineStr">
        <is>
          <t>Région</t>
        </is>
      </c>
      <c r="B3" s="4" t="inlineStr">
        <is>
          <t>CA (FCFA)</t>
        </is>
      </c>
      <c r="C3" s="4" t="inlineStr">
        <is>
          <t>% CA Total</t>
        </is>
      </c>
      <c r="D3" s="4" t="inlineStr">
        <is>
          <t>Quantités Vendues</t>
        </is>
      </c>
      <c r="E3" s="4" t="inlineStr">
        <is>
          <t>% Quantités</t>
        </is>
      </c>
      <c r="F3" s="4" t="inlineStr">
        <is>
          <t>Rang</t>
        </is>
      </c>
    </row>
    <row r="4">
      <c r="A4" s="20" t="inlineStr">
        <is>
          <t>Littoral</t>
        </is>
      </c>
      <c r="B4" s="21" t="n">
        <v>6273132</v>
      </c>
      <c r="C4" s="12">
        <f>B4/SUM($B$4:$B$13)</f>
        <v/>
      </c>
      <c r="D4" s="21" t="n">
        <v>6647</v>
      </c>
      <c r="E4" s="12">
        <f>D4/SUM($D$4:$D$13)</f>
        <v/>
      </c>
      <c r="F4" s="7" t="n">
        <v>1</v>
      </c>
    </row>
    <row r="5">
      <c r="A5" s="22" t="inlineStr">
        <is>
          <t>Centre</t>
        </is>
      </c>
      <c r="B5" s="23" t="n">
        <v>5149762</v>
      </c>
      <c r="C5" s="14">
        <f>B5/SUM($B$4:$B$13)</f>
        <v/>
      </c>
      <c r="D5" s="23" t="n">
        <v>5530</v>
      </c>
      <c r="E5" s="14">
        <f>D5/SUM($D$4:$D$13)</f>
        <v/>
      </c>
      <c r="F5" s="10" t="n">
        <v>2</v>
      </c>
    </row>
    <row r="6">
      <c r="A6" s="20" t="inlineStr">
        <is>
          <t>Ouest</t>
        </is>
      </c>
      <c r="B6" s="21" t="n">
        <v>3566110</v>
      </c>
      <c r="C6" s="12">
        <f>B6/SUM($B$4:$B$13)</f>
        <v/>
      </c>
      <c r="D6" s="21" t="n">
        <v>4132</v>
      </c>
      <c r="E6" s="12">
        <f>D6/SUM($D$4:$D$13)</f>
        <v/>
      </c>
      <c r="F6" s="7" t="n">
        <v>3</v>
      </c>
    </row>
    <row r="7">
      <c r="A7" s="22" t="inlineStr">
        <is>
          <t>Sud-Ouest</t>
        </is>
      </c>
      <c r="B7" s="23" t="n">
        <v>2763907</v>
      </c>
      <c r="C7" s="14">
        <f>B7/SUM($B$4:$B$13)</f>
        <v/>
      </c>
      <c r="D7" s="23" t="n">
        <v>3247</v>
      </c>
      <c r="E7" s="14">
        <f>D7/SUM($D$4:$D$13)</f>
        <v/>
      </c>
      <c r="F7" s="10" t="n">
        <v>4</v>
      </c>
    </row>
    <row r="8">
      <c r="A8" s="20" t="inlineStr">
        <is>
          <t>Sud</t>
        </is>
      </c>
      <c r="B8" s="21" t="n">
        <v>2203805</v>
      </c>
      <c r="C8" s="12">
        <f>B8/SUM($B$4:$B$13)</f>
        <v/>
      </c>
      <c r="D8" s="21" t="n">
        <v>2678</v>
      </c>
      <c r="E8" s="12">
        <f>D8/SUM($D$4:$D$13)</f>
        <v/>
      </c>
      <c r="F8" s="7" t="n">
        <v>5</v>
      </c>
    </row>
    <row r="9">
      <c r="A9" s="22" t="inlineStr">
        <is>
          <t>Nord-Ouest</t>
        </is>
      </c>
      <c r="B9" s="23" t="n">
        <v>1834748</v>
      </c>
      <c r="C9" s="14">
        <f>B9/SUM($B$4:$B$13)</f>
        <v/>
      </c>
      <c r="D9" s="23" t="n">
        <v>2229</v>
      </c>
      <c r="E9" s="14">
        <f>D9/SUM($D$4:$D$13)</f>
        <v/>
      </c>
      <c r="F9" s="10" t="n">
        <v>6</v>
      </c>
    </row>
    <row r="10">
      <c r="A10" s="20" t="inlineStr">
        <is>
          <t>Est</t>
        </is>
      </c>
      <c r="B10" s="21" t="n">
        <v>1809685</v>
      </c>
      <c r="C10" s="12">
        <f>B10/SUM($B$4:$B$13)</f>
        <v/>
      </c>
      <c r="D10" s="21" t="n">
        <v>2257</v>
      </c>
      <c r="E10" s="12">
        <f>D10/SUM($D$4:$D$13)</f>
        <v/>
      </c>
      <c r="F10" s="7" t="n">
        <v>7</v>
      </c>
    </row>
    <row r="11">
      <c r="A11" s="22" t="inlineStr">
        <is>
          <t>Adamaoua</t>
        </is>
      </c>
      <c r="B11" s="23" t="n">
        <v>1320853</v>
      </c>
      <c r="C11" s="14">
        <f>B11/SUM($B$4:$B$13)</f>
        <v/>
      </c>
      <c r="D11" s="23" t="n">
        <v>1679</v>
      </c>
      <c r="E11" s="14">
        <f>D11/SUM($D$4:$D$13)</f>
        <v/>
      </c>
      <c r="F11" s="10" t="n">
        <v>8</v>
      </c>
    </row>
    <row r="12">
      <c r="A12" s="20" t="inlineStr">
        <is>
          <t>Nord</t>
        </is>
      </c>
      <c r="B12" s="21" t="n">
        <v>1241739</v>
      </c>
      <c r="C12" s="12">
        <f>B12/SUM($B$4:$B$13)</f>
        <v/>
      </c>
      <c r="D12" s="21" t="n">
        <v>1579</v>
      </c>
      <c r="E12" s="12">
        <f>D12/SUM($D$4:$D$13)</f>
        <v/>
      </c>
      <c r="F12" s="7" t="n">
        <v>9</v>
      </c>
    </row>
    <row r="13">
      <c r="A13" s="22" t="inlineStr">
        <is>
          <t>Extrême-Nord</t>
        </is>
      </c>
      <c r="B13" s="23" t="n">
        <v>1053309</v>
      </c>
      <c r="C13" s="14">
        <f>B13/SUM($B$4:$B$13)</f>
        <v/>
      </c>
      <c r="D13" s="23" t="n">
        <v>1375</v>
      </c>
      <c r="E13" s="14">
        <f>D13/SUM($D$4:$D$13)</f>
        <v/>
      </c>
      <c r="F13" s="10" t="n">
        <v>10</v>
      </c>
    </row>
    <row r="14">
      <c r="A14" s="4" t="inlineStr">
        <is>
          <t>TOTAL</t>
        </is>
      </c>
      <c r="B14" s="24">
        <f>SUM(B4:B13)</f>
        <v/>
      </c>
      <c r="C14" s="4" t="inlineStr">
        <is>
          <t>100,0%</t>
        </is>
      </c>
      <c r="D14" s="24">
        <f>SUM(D4:D13)</f>
        <v/>
      </c>
      <c r="E14" s="4" t="inlineStr">
        <is>
          <t>100,0%</t>
        </is>
      </c>
      <c r="F14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32" customHeight="1">
      <c r="A1" s="19" t="inlineStr">
        <is>
          <t>🛒 PERFORMANCE PAR CANAL DE VENTE</t>
        </is>
      </c>
    </row>
    <row r="3">
      <c r="A3" s="4" t="inlineStr">
        <is>
          <t>Canal</t>
        </is>
      </c>
      <c r="B3" s="4" t="inlineStr">
        <is>
          <t>CA (FCFA)</t>
        </is>
      </c>
      <c r="C3" s="4" t="inlineStr">
        <is>
          <t>% CA Total</t>
        </is>
      </c>
      <c r="D3" s="4" t="inlineStr">
        <is>
          <t>Commandes</t>
        </is>
      </c>
      <c r="E3" s="4" t="inlineStr">
        <is>
          <t>% Commandes</t>
        </is>
      </c>
      <c r="F3" s="4" t="inlineStr">
        <is>
          <t>Quantités</t>
        </is>
      </c>
    </row>
    <row r="4">
      <c r="A4" s="5" t="inlineStr">
        <is>
          <t>Marché</t>
        </is>
      </c>
      <c r="B4" s="21" t="n">
        <v>8847146</v>
      </c>
      <c r="C4" s="12">
        <f>B4/SUM($B$4:$B$8)</f>
        <v/>
      </c>
      <c r="D4" s="21" t="n">
        <v>1465</v>
      </c>
      <c r="E4" s="12">
        <f>D4/SUM($D$4:$D$8)</f>
        <v/>
      </c>
      <c r="F4" s="21" t="n">
        <v>10806</v>
      </c>
    </row>
    <row r="5">
      <c r="A5" s="8" t="inlineStr">
        <is>
          <t>Distributeur</t>
        </is>
      </c>
      <c r="B5" s="23" t="n">
        <v>6279176</v>
      </c>
      <c r="C5" s="14">
        <f>B5/SUM($B$4:$B$8)</f>
        <v/>
      </c>
      <c r="D5" s="23" t="n">
        <v>517</v>
      </c>
      <c r="E5" s="14">
        <f>D5/SUM($D$4:$D$8)</f>
        <v/>
      </c>
      <c r="F5" s="23" t="n">
        <v>8755</v>
      </c>
    </row>
    <row r="6">
      <c r="A6" s="5" t="inlineStr">
        <is>
          <t>Supermarché</t>
        </is>
      </c>
      <c r="B6" s="21" t="n">
        <v>5288092</v>
      </c>
      <c r="C6" s="12">
        <f>B6/SUM($B$4:$B$8)</f>
        <v/>
      </c>
      <c r="D6" s="21" t="n">
        <v>913</v>
      </c>
      <c r="E6" s="12">
        <f>D6/SUM($D$4:$D$8)</f>
        <v/>
      </c>
      <c r="F6" s="21" t="n">
        <v>4720</v>
      </c>
    </row>
    <row r="7">
      <c r="A7" s="8" t="inlineStr">
        <is>
          <t>Magasin</t>
        </is>
      </c>
      <c r="B7" s="23" t="n">
        <v>5208027</v>
      </c>
      <c r="C7" s="14">
        <f>B7/SUM($B$4:$B$8)</f>
        <v/>
      </c>
      <c r="D7" s="23" t="n">
        <v>1500</v>
      </c>
      <c r="E7" s="14">
        <f>D7/SUM($D$4:$D$8)</f>
        <v/>
      </c>
      <c r="F7" s="23" t="n">
        <v>5512</v>
      </c>
    </row>
    <row r="8">
      <c r="A8" s="5" t="inlineStr">
        <is>
          <t>En ligne</t>
        </is>
      </c>
      <c r="B8" s="21" t="n">
        <v>1594609</v>
      </c>
      <c r="C8" s="12">
        <f>B8/SUM($B$4:$B$8)</f>
        <v/>
      </c>
      <c r="D8" s="21" t="n">
        <v>605</v>
      </c>
      <c r="E8" s="12">
        <f>D8/SUM($D$4:$D$8)</f>
        <v/>
      </c>
      <c r="F8" s="21" t="n">
        <v>1560</v>
      </c>
    </row>
    <row r="9">
      <c r="A9" s="4" t="inlineStr">
        <is>
          <t>TOTAL</t>
        </is>
      </c>
      <c r="B9" s="24">
        <f>SUM(B4:B8)</f>
        <v/>
      </c>
      <c r="C9" s="4" t="inlineStr">
        <is>
          <t>100,0%</t>
        </is>
      </c>
      <c r="D9" s="24">
        <f>SUM(D4:D8)</f>
        <v/>
      </c>
      <c r="E9" s="4" t="inlineStr">
        <is>
          <t>100,0%</t>
        </is>
      </c>
      <c r="F9" s="24">
        <f>SUM(F4:F8)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2" customWidth="1" min="5" max="5"/>
    <col width="22" customWidth="1" min="6" max="6"/>
    <col width="18" customWidth="1" min="7" max="7"/>
  </cols>
  <sheetData>
    <row r="1" ht="32" customHeight="1">
      <c r="A1" s="19" t="inlineStr">
        <is>
          <t>📋 DONNÉES TRANSACTIONS (Échantillon 50 dernières)</t>
        </is>
      </c>
    </row>
    <row r="3">
      <c r="A3" s="4" t="inlineStr">
        <is>
          <t>Date</t>
        </is>
      </c>
      <c r="B3" s="4" t="inlineStr">
        <is>
          <t>Produit</t>
        </is>
      </c>
      <c r="C3" s="4" t="inlineStr">
        <is>
          <t>Région</t>
        </is>
      </c>
      <c r="D3" s="4" t="inlineStr">
        <is>
          <t>Canal</t>
        </is>
      </c>
      <c r="E3" s="4" t="inlineStr">
        <is>
          <t>Quantité</t>
        </is>
      </c>
      <c r="F3" s="4" t="inlineStr">
        <is>
          <t>Prix Unitaire (FCFA)</t>
        </is>
      </c>
      <c r="G3" s="4" t="inlineStr">
        <is>
          <t>Revenu (FCFA)</t>
        </is>
      </c>
    </row>
    <row r="4">
      <c r="A4" s="5" t="inlineStr">
        <is>
          <t>2025-12-31</t>
        </is>
      </c>
      <c r="B4" s="5" t="inlineStr">
        <is>
          <t>Jus Mixte</t>
        </is>
      </c>
      <c r="C4" s="5" t="inlineStr">
        <is>
          <t>Nord-Ouest</t>
        </is>
      </c>
      <c r="D4" s="5" t="inlineStr">
        <is>
          <t>En ligne</t>
        </is>
      </c>
      <c r="E4" s="21" t="n">
        <v>1</v>
      </c>
      <c r="F4" s="21" t="n">
        <v>1200</v>
      </c>
      <c r="G4" s="21" t="n">
        <v>1200</v>
      </c>
    </row>
    <row r="5">
      <c r="A5" s="8" t="inlineStr">
        <is>
          <t>2025-12-31</t>
        </is>
      </c>
      <c r="B5" s="8" t="inlineStr">
        <is>
          <t>Jus de Goyave</t>
        </is>
      </c>
      <c r="C5" s="8" t="inlineStr">
        <is>
          <t>Sud</t>
        </is>
      </c>
      <c r="D5" s="8" t="inlineStr">
        <is>
          <t>Marché</t>
        </is>
      </c>
      <c r="E5" s="23" t="n">
        <v>5</v>
      </c>
      <c r="F5" s="23" t="n">
        <v>705</v>
      </c>
      <c r="G5" s="23" t="n">
        <v>3525</v>
      </c>
    </row>
    <row r="6">
      <c r="A6" s="5" t="inlineStr">
        <is>
          <t>2025-12-31</t>
        </is>
      </c>
      <c r="B6" s="5" t="inlineStr">
        <is>
          <t>Jus Mixte</t>
        </is>
      </c>
      <c r="C6" s="5" t="inlineStr">
        <is>
          <t>Nord</t>
        </is>
      </c>
      <c r="D6" s="5" t="inlineStr">
        <is>
          <t>Marché</t>
        </is>
      </c>
      <c r="E6" s="21" t="n">
        <v>16</v>
      </c>
      <c r="F6" s="21" t="n">
        <v>904</v>
      </c>
      <c r="G6" s="21" t="n">
        <v>14464</v>
      </c>
    </row>
    <row r="7">
      <c r="A7" s="8" t="inlineStr">
        <is>
          <t>2025-12-31</t>
        </is>
      </c>
      <c r="B7" s="8" t="inlineStr">
        <is>
          <t>Jus de Papaye</t>
        </is>
      </c>
      <c r="C7" s="8" t="inlineStr">
        <is>
          <t>Littoral</t>
        </is>
      </c>
      <c r="D7" s="8" t="inlineStr">
        <is>
          <t>Marché</t>
        </is>
      </c>
      <c r="E7" s="23" t="n">
        <v>1</v>
      </c>
      <c r="F7" s="23" t="n">
        <v>924</v>
      </c>
      <c r="G7" s="23" t="n">
        <v>924</v>
      </c>
    </row>
    <row r="8">
      <c r="A8" s="5" t="inlineStr">
        <is>
          <t>2025-12-30</t>
        </is>
      </c>
      <c r="B8" s="5" t="inlineStr">
        <is>
          <t>Jus d'Ananas</t>
        </is>
      </c>
      <c r="C8" s="5" t="inlineStr">
        <is>
          <t>Est</t>
        </is>
      </c>
      <c r="D8" s="5" t="inlineStr">
        <is>
          <t>Supermarché</t>
        </is>
      </c>
      <c r="E8" s="21" t="n">
        <v>1</v>
      </c>
      <c r="F8" s="21" t="n">
        <v>1020</v>
      </c>
      <c r="G8" s="21" t="n">
        <v>1020</v>
      </c>
    </row>
    <row r="9">
      <c r="A9" s="8" t="inlineStr">
        <is>
          <t>2025-12-30</t>
        </is>
      </c>
      <c r="B9" s="8" t="inlineStr">
        <is>
          <t>Jus de Papaye</t>
        </is>
      </c>
      <c r="C9" s="8" t="inlineStr">
        <is>
          <t>Centre</t>
        </is>
      </c>
      <c r="D9" s="8" t="inlineStr">
        <is>
          <t>Supermarché</t>
        </is>
      </c>
      <c r="E9" s="23" t="n">
        <v>7</v>
      </c>
      <c r="F9" s="23" t="n">
        <v>1206</v>
      </c>
      <c r="G9" s="23" t="n">
        <v>8442</v>
      </c>
    </row>
    <row r="10">
      <c r="A10" s="5" t="inlineStr">
        <is>
          <t>2025-12-29</t>
        </is>
      </c>
      <c r="B10" s="5" t="inlineStr">
        <is>
          <t>Jus de Papaye</t>
        </is>
      </c>
      <c r="C10" s="5" t="inlineStr">
        <is>
          <t>Centre</t>
        </is>
      </c>
      <c r="D10" s="5" t="inlineStr">
        <is>
          <t>Magasin</t>
        </is>
      </c>
      <c r="E10" s="21" t="n">
        <v>3</v>
      </c>
      <c r="F10" s="21" t="n">
        <v>968</v>
      </c>
      <c r="G10" s="21" t="n">
        <v>2904</v>
      </c>
    </row>
    <row r="11">
      <c r="A11" s="8" t="inlineStr">
        <is>
          <t>2025-12-29</t>
        </is>
      </c>
      <c r="B11" s="8" t="inlineStr">
        <is>
          <t>Jus de Gingembre</t>
        </is>
      </c>
      <c r="C11" s="8" t="inlineStr">
        <is>
          <t>Ouest</t>
        </is>
      </c>
      <c r="D11" s="8" t="inlineStr">
        <is>
          <t>Distributeur</t>
        </is>
      </c>
      <c r="E11" s="23" t="n">
        <v>15</v>
      </c>
      <c r="F11" s="23" t="n">
        <v>773</v>
      </c>
      <c r="G11" s="23" t="n">
        <v>11595</v>
      </c>
    </row>
    <row r="12">
      <c r="A12" s="5" t="inlineStr">
        <is>
          <t>2025-12-29</t>
        </is>
      </c>
      <c r="B12" s="5" t="inlineStr">
        <is>
          <t>Jus de Papaye</t>
        </is>
      </c>
      <c r="C12" s="5" t="inlineStr">
        <is>
          <t>Littoral</t>
        </is>
      </c>
      <c r="D12" s="5" t="inlineStr">
        <is>
          <t>Marché</t>
        </is>
      </c>
      <c r="E12" s="21" t="n">
        <v>6</v>
      </c>
      <c r="F12" s="21" t="n">
        <v>909</v>
      </c>
      <c r="G12" s="21" t="n">
        <v>5454</v>
      </c>
    </row>
    <row r="13">
      <c r="A13" s="8" t="inlineStr">
        <is>
          <t>2025-12-29</t>
        </is>
      </c>
      <c r="B13" s="8" t="inlineStr">
        <is>
          <t>Jus de Goyave</t>
        </is>
      </c>
      <c r="C13" s="8" t="inlineStr">
        <is>
          <t>Est</t>
        </is>
      </c>
      <c r="D13" s="8" t="inlineStr">
        <is>
          <t>Supermarché</t>
        </is>
      </c>
      <c r="E13" s="23" t="n">
        <v>4</v>
      </c>
      <c r="F13" s="23" t="n">
        <v>885</v>
      </c>
      <c r="G13" s="23" t="n">
        <v>3540</v>
      </c>
    </row>
    <row r="14">
      <c r="A14" s="5" t="inlineStr">
        <is>
          <t>2025-12-28</t>
        </is>
      </c>
      <c r="B14" s="5" t="inlineStr">
        <is>
          <t>Jus de Mangue</t>
        </is>
      </c>
      <c r="C14" s="5" t="inlineStr">
        <is>
          <t>Centre</t>
        </is>
      </c>
      <c r="D14" s="5" t="inlineStr">
        <is>
          <t>Marché</t>
        </is>
      </c>
      <c r="E14" s="21" t="n">
        <v>9</v>
      </c>
      <c r="F14" s="21" t="n">
        <v>1205</v>
      </c>
      <c r="G14" s="21" t="n">
        <v>10845</v>
      </c>
    </row>
    <row r="15">
      <c r="A15" s="8" t="inlineStr">
        <is>
          <t>2025-12-28</t>
        </is>
      </c>
      <c r="B15" s="8" t="inlineStr">
        <is>
          <t>Jus Mixte</t>
        </is>
      </c>
      <c r="C15" s="8" t="inlineStr">
        <is>
          <t>Adamaoua</t>
        </is>
      </c>
      <c r="D15" s="8" t="inlineStr">
        <is>
          <t>Marché</t>
        </is>
      </c>
      <c r="E15" s="23" t="n">
        <v>8</v>
      </c>
      <c r="F15" s="23" t="n">
        <v>964</v>
      </c>
      <c r="G15" s="23" t="n">
        <v>7712</v>
      </c>
    </row>
    <row r="16">
      <c r="A16" s="5" t="inlineStr">
        <is>
          <t>2025-12-27</t>
        </is>
      </c>
      <c r="B16" s="5" t="inlineStr">
        <is>
          <t>Jus de Gingembre</t>
        </is>
      </c>
      <c r="C16" s="5" t="inlineStr">
        <is>
          <t>Centre</t>
        </is>
      </c>
      <c r="D16" s="5" t="inlineStr">
        <is>
          <t>Distributeur</t>
        </is>
      </c>
      <c r="E16" s="21" t="n">
        <v>11</v>
      </c>
      <c r="F16" s="21" t="n">
        <v>839</v>
      </c>
      <c r="G16" s="21" t="n">
        <v>9229</v>
      </c>
    </row>
    <row r="17">
      <c r="A17" s="8" t="inlineStr">
        <is>
          <t>2025-12-27</t>
        </is>
      </c>
      <c r="B17" s="8" t="inlineStr">
        <is>
          <t>Jus d'Ananas</t>
        </is>
      </c>
      <c r="C17" s="8" t="inlineStr">
        <is>
          <t>Littoral</t>
        </is>
      </c>
      <c r="D17" s="8" t="inlineStr">
        <is>
          <t>Marché</t>
        </is>
      </c>
      <c r="E17" s="23" t="n">
        <v>20</v>
      </c>
      <c r="F17" s="23" t="n">
        <v>633</v>
      </c>
      <c r="G17" s="23" t="n">
        <v>12660</v>
      </c>
    </row>
    <row r="18">
      <c r="A18" s="5" t="inlineStr">
        <is>
          <t>2025-12-26</t>
        </is>
      </c>
      <c r="B18" s="5" t="inlineStr">
        <is>
          <t>Jus de Mangue</t>
        </is>
      </c>
      <c r="C18" s="5" t="inlineStr">
        <is>
          <t>Ouest</t>
        </is>
      </c>
      <c r="D18" s="5" t="inlineStr">
        <is>
          <t>Magasin</t>
        </is>
      </c>
      <c r="E18" s="21" t="n">
        <v>4</v>
      </c>
      <c r="F18" s="21" t="n">
        <v>1050</v>
      </c>
      <c r="G18" s="21" t="n">
        <v>4200</v>
      </c>
    </row>
    <row r="19">
      <c r="A19" s="8" t="inlineStr">
        <is>
          <t>2025-12-26</t>
        </is>
      </c>
      <c r="B19" s="8" t="inlineStr">
        <is>
          <t>Jus de Goyave</t>
        </is>
      </c>
      <c r="C19" s="8" t="inlineStr">
        <is>
          <t>Nord-Ouest</t>
        </is>
      </c>
      <c r="D19" s="8" t="inlineStr">
        <is>
          <t>Marché</t>
        </is>
      </c>
      <c r="E19" s="23" t="n">
        <v>12</v>
      </c>
      <c r="F19" s="23" t="n">
        <v>757</v>
      </c>
      <c r="G19" s="23" t="n">
        <v>9084</v>
      </c>
    </row>
    <row r="20">
      <c r="A20" s="5" t="inlineStr">
        <is>
          <t>2025-12-25</t>
        </is>
      </c>
      <c r="B20" s="5" t="inlineStr">
        <is>
          <t>Jus de Papaye</t>
        </is>
      </c>
      <c r="C20" s="5" t="inlineStr">
        <is>
          <t>Littoral</t>
        </is>
      </c>
      <c r="D20" s="5" t="inlineStr">
        <is>
          <t>Distributeur</t>
        </is>
      </c>
      <c r="E20" s="21" t="n">
        <v>8</v>
      </c>
      <c r="F20" s="21" t="n">
        <v>986</v>
      </c>
      <c r="G20" s="21" t="n">
        <v>7888</v>
      </c>
    </row>
    <row r="21">
      <c r="A21" s="8" t="inlineStr">
        <is>
          <t>2025-12-25</t>
        </is>
      </c>
      <c r="B21" s="8" t="inlineStr">
        <is>
          <t>Jus de Mangue</t>
        </is>
      </c>
      <c r="C21" s="8" t="inlineStr">
        <is>
          <t>Sud-Ouest</t>
        </is>
      </c>
      <c r="D21" s="8" t="inlineStr">
        <is>
          <t>Supermarché</t>
        </is>
      </c>
      <c r="E21" s="23" t="n">
        <v>6</v>
      </c>
      <c r="F21" s="23" t="n">
        <v>1135</v>
      </c>
      <c r="G21" s="23" t="n">
        <v>6810</v>
      </c>
    </row>
    <row r="22">
      <c r="A22" s="5" t="inlineStr">
        <is>
          <t>2025-12-24</t>
        </is>
      </c>
      <c r="B22" s="5" t="inlineStr">
        <is>
          <t>Jus Mixte</t>
        </is>
      </c>
      <c r="C22" s="5" t="inlineStr">
        <is>
          <t>Centre</t>
        </is>
      </c>
      <c r="D22" s="5" t="inlineStr">
        <is>
          <t>Marché</t>
        </is>
      </c>
      <c r="E22" s="21" t="n">
        <v>14</v>
      </c>
      <c r="F22" s="21" t="n">
        <v>870</v>
      </c>
      <c r="G22" s="21" t="n">
        <v>12180</v>
      </c>
    </row>
    <row r="23">
      <c r="A23" s="8" t="inlineStr">
        <is>
          <t>2025-12-24</t>
        </is>
      </c>
      <c r="B23" s="8" t="inlineStr">
        <is>
          <t>Jus de Gingembre</t>
        </is>
      </c>
      <c r="C23" s="8" t="inlineStr">
        <is>
          <t>Est</t>
        </is>
      </c>
      <c r="D23" s="8" t="inlineStr">
        <is>
          <t>Magasin</t>
        </is>
      </c>
      <c r="E23" s="23" t="n">
        <v>3</v>
      </c>
      <c r="F23" s="23" t="n">
        <v>793</v>
      </c>
      <c r="G23" s="23" t="n">
        <v>2379</v>
      </c>
    </row>
    <row r="24">
      <c r="A24" s="5" t="inlineStr">
        <is>
          <t>2025-12-23</t>
        </is>
      </c>
      <c r="B24" s="5" t="inlineStr">
        <is>
          <t>Jus d'Ananas</t>
        </is>
      </c>
      <c r="C24" s="5" t="inlineStr">
        <is>
          <t>Ouest</t>
        </is>
      </c>
      <c r="D24" s="5" t="inlineStr">
        <is>
          <t>Distributeur</t>
        </is>
      </c>
      <c r="E24" s="21" t="n">
        <v>18</v>
      </c>
      <c r="F24" s="21" t="n">
        <v>699</v>
      </c>
      <c r="G24" s="21" t="n">
        <v>12582</v>
      </c>
    </row>
    <row r="25">
      <c r="A25" s="8" t="inlineStr">
        <is>
          <t>2025-12-23</t>
        </is>
      </c>
      <c r="B25" s="8" t="inlineStr">
        <is>
          <t>Jus de Goyave</t>
        </is>
      </c>
      <c r="C25" s="8" t="inlineStr">
        <is>
          <t>Sud</t>
        </is>
      </c>
      <c r="D25" s="8" t="inlineStr">
        <is>
          <t>Marché</t>
        </is>
      </c>
      <c r="E25" s="23" t="n">
        <v>7</v>
      </c>
      <c r="F25" s="23" t="n">
        <v>712</v>
      </c>
      <c r="G25" s="23" t="n">
        <v>4984</v>
      </c>
    </row>
    <row r="26">
      <c r="A26" s="5" t="inlineStr">
        <is>
          <t>2025-12-22</t>
        </is>
      </c>
      <c r="B26" s="5" t="inlineStr">
        <is>
          <t>Jus de Mangue</t>
        </is>
      </c>
      <c r="C26" s="5" t="inlineStr">
        <is>
          <t>Littoral</t>
        </is>
      </c>
      <c r="D26" s="5" t="inlineStr">
        <is>
          <t>Marché</t>
        </is>
      </c>
      <c r="E26" s="21" t="n">
        <v>22</v>
      </c>
      <c r="F26" s="21" t="n">
        <v>1180</v>
      </c>
      <c r="G26" s="21" t="n">
        <v>25960</v>
      </c>
    </row>
    <row r="27">
      <c r="A27" s="8" t="inlineStr">
        <is>
          <t>2025-12-22</t>
        </is>
      </c>
      <c r="B27" s="8" t="inlineStr">
        <is>
          <t>Jus de Papaye</t>
        </is>
      </c>
      <c r="C27" s="8" t="inlineStr">
        <is>
          <t>Nord</t>
        </is>
      </c>
      <c r="D27" s="8" t="inlineStr">
        <is>
          <t>Supermarché</t>
        </is>
      </c>
      <c r="E27" s="23" t="n">
        <v>5</v>
      </c>
      <c r="F27" s="23" t="n">
        <v>935</v>
      </c>
      <c r="G27" s="23" t="n">
        <v>4675</v>
      </c>
    </row>
    <row r="28">
      <c r="A28" s="5" t="inlineStr">
        <is>
          <t>2025-12-21</t>
        </is>
      </c>
      <c r="B28" s="5" t="inlineStr">
        <is>
          <t>Jus de Gingembre</t>
        </is>
      </c>
      <c r="C28" s="5" t="inlineStr">
        <is>
          <t>Centre</t>
        </is>
      </c>
      <c r="D28" s="5" t="inlineStr">
        <is>
          <t>Magasin</t>
        </is>
      </c>
      <c r="E28" s="21" t="n">
        <v>9</v>
      </c>
      <c r="F28" s="21" t="n">
        <v>814</v>
      </c>
      <c r="G28" s="21" t="n">
        <v>7326</v>
      </c>
    </row>
    <row r="29">
      <c r="A29" s="8" t="inlineStr">
        <is>
          <t>2025-12-21</t>
        </is>
      </c>
      <c r="B29" s="8" t="inlineStr">
        <is>
          <t>Jus Mixte</t>
        </is>
      </c>
      <c r="C29" s="8" t="inlineStr">
        <is>
          <t>Ouest</t>
        </is>
      </c>
      <c r="D29" s="8" t="inlineStr">
        <is>
          <t>Distributeur</t>
        </is>
      </c>
      <c r="E29" s="23" t="n">
        <v>13</v>
      </c>
      <c r="F29" s="23" t="n">
        <v>1005</v>
      </c>
      <c r="G29" s="23" t="n">
        <v>13065</v>
      </c>
    </row>
    <row r="30">
      <c r="A30" s="5" t="inlineStr">
        <is>
          <t>2025-12-20</t>
        </is>
      </c>
      <c r="B30" s="5" t="inlineStr">
        <is>
          <t>Jus de Mangue</t>
        </is>
      </c>
      <c r="C30" s="5" t="inlineStr">
        <is>
          <t>Adamaoua</t>
        </is>
      </c>
      <c r="D30" s="5" t="inlineStr">
        <is>
          <t>Marché</t>
        </is>
      </c>
      <c r="E30" s="21" t="n">
        <v>7</v>
      </c>
      <c r="F30" s="21" t="n">
        <v>1098</v>
      </c>
      <c r="G30" s="21" t="n">
        <v>7686</v>
      </c>
    </row>
    <row r="31">
      <c r="A31" s="8" t="inlineStr">
        <is>
          <t>2025-12-20</t>
        </is>
      </c>
      <c r="B31" s="8" t="inlineStr">
        <is>
          <t>Jus d'Ananas</t>
        </is>
      </c>
      <c r="C31" s="8" t="inlineStr">
        <is>
          <t>Littoral</t>
        </is>
      </c>
      <c r="D31" s="8" t="inlineStr">
        <is>
          <t>Supermarché</t>
        </is>
      </c>
      <c r="E31" s="23" t="n">
        <v>11</v>
      </c>
      <c r="F31" s="23" t="n">
        <v>648</v>
      </c>
      <c r="G31" s="23" t="n">
        <v>7128</v>
      </c>
    </row>
    <row r="32">
      <c r="A32" s="5" t="inlineStr">
        <is>
          <t>2025-12-19</t>
        </is>
      </c>
      <c r="B32" s="5" t="inlineStr">
        <is>
          <t>Jus de Papaye</t>
        </is>
      </c>
      <c r="C32" s="5" t="inlineStr">
        <is>
          <t>Centre</t>
        </is>
      </c>
      <c r="D32" s="5" t="inlineStr">
        <is>
          <t>Distributeur</t>
        </is>
      </c>
      <c r="E32" s="21" t="n">
        <v>14</v>
      </c>
      <c r="F32" s="21" t="n">
        <v>972</v>
      </c>
      <c r="G32" s="21" t="n">
        <v>13608</v>
      </c>
    </row>
    <row r="33">
      <c r="A33" s="8" t="inlineStr">
        <is>
          <t>2025-12-19</t>
        </is>
      </c>
      <c r="B33" s="8" t="inlineStr">
        <is>
          <t>Jus de Goyave</t>
        </is>
      </c>
      <c r="C33" s="8" t="inlineStr">
        <is>
          <t>Est</t>
        </is>
      </c>
      <c r="D33" s="8" t="inlineStr">
        <is>
          <t>Marché</t>
        </is>
      </c>
      <c r="E33" s="23" t="n">
        <v>6</v>
      </c>
      <c r="F33" s="23" t="n">
        <v>728</v>
      </c>
      <c r="G33" s="23" t="n">
        <v>4368</v>
      </c>
    </row>
    <row r="34">
      <c r="A34" s="5" t="inlineStr">
        <is>
          <t>2025-12-18</t>
        </is>
      </c>
      <c r="B34" s="5" t="inlineStr">
        <is>
          <t>Jus de Mangue</t>
        </is>
      </c>
      <c r="C34" s="5" t="inlineStr">
        <is>
          <t>Littoral</t>
        </is>
      </c>
      <c r="D34" s="5" t="inlineStr">
        <is>
          <t>Magasin</t>
        </is>
      </c>
      <c r="E34" s="21" t="n">
        <v>3</v>
      </c>
      <c r="F34" s="21" t="n">
        <v>1155</v>
      </c>
      <c r="G34" s="21" t="n">
        <v>3465</v>
      </c>
    </row>
    <row r="35">
      <c r="A35" s="8" t="inlineStr">
        <is>
          <t>2025-12-18</t>
        </is>
      </c>
      <c r="B35" s="8" t="inlineStr">
        <is>
          <t>Jus de Gingembre</t>
        </is>
      </c>
      <c r="C35" s="8" t="inlineStr">
        <is>
          <t>Ouest</t>
        </is>
      </c>
      <c r="D35" s="8" t="inlineStr">
        <is>
          <t>Marché</t>
        </is>
      </c>
      <c r="E35" s="23" t="n">
        <v>16</v>
      </c>
      <c r="F35" s="23" t="n">
        <v>769</v>
      </c>
      <c r="G35" s="23" t="n">
        <v>12304</v>
      </c>
    </row>
    <row r="36">
      <c r="A36" s="5" t="inlineStr">
        <is>
          <t>2025-12-17</t>
        </is>
      </c>
      <c r="B36" s="5" t="inlineStr">
        <is>
          <t>Jus Mixte</t>
        </is>
      </c>
      <c r="C36" s="5" t="inlineStr">
        <is>
          <t>Sud-Ouest</t>
        </is>
      </c>
      <c r="D36" s="5" t="inlineStr">
        <is>
          <t>Supermarché</t>
        </is>
      </c>
      <c r="E36" s="21" t="n">
        <v>8</v>
      </c>
      <c r="F36" s="21" t="n">
        <v>925</v>
      </c>
      <c r="G36" s="21" t="n">
        <v>7400</v>
      </c>
    </row>
    <row r="37">
      <c r="A37" s="8" t="inlineStr">
        <is>
          <t>2025-12-17</t>
        </is>
      </c>
      <c r="B37" s="8" t="inlineStr">
        <is>
          <t>Jus d'Ananas</t>
        </is>
      </c>
      <c r="C37" s="8" t="inlineStr">
        <is>
          <t>Nord-Ouest</t>
        </is>
      </c>
      <c r="D37" s="8" t="inlineStr">
        <is>
          <t>Magasin</t>
        </is>
      </c>
      <c r="E37" s="23" t="n">
        <v>5</v>
      </c>
      <c r="F37" s="23" t="n">
        <v>611</v>
      </c>
      <c r="G37" s="23" t="n">
        <v>3055</v>
      </c>
    </row>
    <row r="38">
      <c r="A38" s="5" t="inlineStr">
        <is>
          <t>2025-12-16</t>
        </is>
      </c>
      <c r="B38" s="5" t="inlineStr">
        <is>
          <t>Jus de Papaye</t>
        </is>
      </c>
      <c r="C38" s="5" t="inlineStr">
        <is>
          <t>Littoral</t>
        </is>
      </c>
      <c r="D38" s="5" t="inlineStr">
        <is>
          <t>Marché</t>
        </is>
      </c>
      <c r="E38" s="21" t="n">
        <v>19</v>
      </c>
      <c r="F38" s="21" t="n">
        <v>898</v>
      </c>
      <c r="G38" s="21" t="n">
        <v>17062</v>
      </c>
    </row>
    <row r="39">
      <c r="A39" s="8" t="inlineStr">
        <is>
          <t>2025-12-15</t>
        </is>
      </c>
      <c r="B39" s="8" t="inlineStr">
        <is>
          <t>Jus de Mangue</t>
        </is>
      </c>
      <c r="C39" s="8" t="inlineStr">
        <is>
          <t>Centre</t>
        </is>
      </c>
      <c r="D39" s="8" t="inlineStr">
        <is>
          <t>Distributeur</t>
        </is>
      </c>
      <c r="E39" s="23" t="n">
        <v>12</v>
      </c>
      <c r="F39" s="23" t="n">
        <v>1210</v>
      </c>
      <c r="G39" s="23" t="n">
        <v>14520</v>
      </c>
    </row>
    <row r="40">
      <c r="A40" s="5" t="inlineStr">
        <is>
          <t>2025-12-14</t>
        </is>
      </c>
      <c r="B40" s="5" t="inlineStr">
        <is>
          <t>Jus de Goyave</t>
        </is>
      </c>
      <c r="C40" s="5" t="inlineStr">
        <is>
          <t>Ouest</t>
        </is>
      </c>
      <c r="D40" s="5" t="inlineStr">
        <is>
          <t>Marché</t>
        </is>
      </c>
      <c r="E40" s="21" t="n">
        <v>9</v>
      </c>
      <c r="F40" s="21" t="n">
        <v>740</v>
      </c>
      <c r="G40" s="21" t="n">
        <v>6660</v>
      </c>
    </row>
    <row r="41">
      <c r="A41" s="8" t="inlineStr">
        <is>
          <t>2025-12-13</t>
        </is>
      </c>
      <c r="B41" s="8" t="inlineStr">
        <is>
          <t>Jus de Gingembre</t>
        </is>
      </c>
      <c r="C41" s="8" t="inlineStr">
        <is>
          <t>Littoral</t>
        </is>
      </c>
      <c r="D41" s="8" t="inlineStr">
        <is>
          <t>Supermarché</t>
        </is>
      </c>
      <c r="E41" s="23" t="n">
        <v>4</v>
      </c>
      <c r="F41" s="23" t="n">
        <v>823</v>
      </c>
      <c r="G41" s="23" t="n">
        <v>3292</v>
      </c>
    </row>
    <row r="42">
      <c r="A42" s="5" t="inlineStr">
        <is>
          <t>2025-12-12</t>
        </is>
      </c>
      <c r="B42" s="5" t="inlineStr">
        <is>
          <t>Jus Mixte</t>
        </is>
      </c>
      <c r="C42" s="5" t="inlineStr">
        <is>
          <t>Est</t>
        </is>
      </c>
      <c r="D42" s="5" t="inlineStr">
        <is>
          <t>Magasin</t>
        </is>
      </c>
      <c r="E42" s="21" t="n">
        <v>7</v>
      </c>
      <c r="F42" s="21" t="n">
        <v>988</v>
      </c>
      <c r="G42" s="21" t="n">
        <v>6916</v>
      </c>
    </row>
    <row r="43">
      <c r="A43" s="8" t="inlineStr">
        <is>
          <t>2025-12-11</t>
        </is>
      </c>
      <c r="B43" s="8" t="inlineStr">
        <is>
          <t>Jus de Mangue</t>
        </is>
      </c>
      <c r="C43" s="8" t="inlineStr">
        <is>
          <t>Sud</t>
        </is>
      </c>
      <c r="D43" s="8" t="inlineStr">
        <is>
          <t>Marché</t>
        </is>
      </c>
      <c r="E43" s="23" t="n">
        <v>20</v>
      </c>
      <c r="F43" s="23" t="n">
        <v>1075</v>
      </c>
      <c r="G43" s="23" t="n">
        <v>21500</v>
      </c>
    </row>
    <row r="44">
      <c r="A44" s="5" t="inlineStr">
        <is>
          <t>2025-12-10</t>
        </is>
      </c>
      <c r="B44" s="5" t="inlineStr">
        <is>
          <t>Jus d'Ananas</t>
        </is>
      </c>
      <c r="C44" s="5" t="inlineStr">
        <is>
          <t>Centre</t>
        </is>
      </c>
      <c r="D44" s="5" t="inlineStr">
        <is>
          <t>Distributeur</t>
        </is>
      </c>
      <c r="E44" s="21" t="n">
        <v>15</v>
      </c>
      <c r="F44" s="21" t="n">
        <v>672</v>
      </c>
      <c r="G44" s="21" t="n">
        <v>10080</v>
      </c>
    </row>
    <row r="45">
      <c r="A45" s="8" t="inlineStr">
        <is>
          <t>2025-12-09</t>
        </is>
      </c>
      <c r="B45" s="8" t="inlineStr">
        <is>
          <t>Jus de Papaye</t>
        </is>
      </c>
      <c r="C45" s="8" t="inlineStr">
        <is>
          <t>Nord-Ouest</t>
        </is>
      </c>
      <c r="D45" s="8" t="inlineStr">
        <is>
          <t>Marché</t>
        </is>
      </c>
      <c r="E45" s="23" t="n">
        <v>6</v>
      </c>
      <c r="F45" s="23" t="n">
        <v>915</v>
      </c>
      <c r="G45" s="23" t="n">
        <v>5490</v>
      </c>
    </row>
    <row r="46">
      <c r="A46" s="5" t="inlineStr">
        <is>
          <t>2025-12-08</t>
        </is>
      </c>
      <c r="B46" s="5" t="inlineStr">
        <is>
          <t>Jus de Goyave</t>
        </is>
      </c>
      <c r="C46" s="5" t="inlineStr">
        <is>
          <t>Littoral</t>
        </is>
      </c>
      <c r="D46" s="5" t="inlineStr">
        <is>
          <t>Supermarché</t>
        </is>
      </c>
      <c r="E46" s="21" t="n">
        <v>11</v>
      </c>
      <c r="F46" s="21" t="n">
        <v>695</v>
      </c>
      <c r="G46" s="21" t="n">
        <v>7645</v>
      </c>
    </row>
    <row r="47">
      <c r="A47" s="8" t="inlineStr">
        <is>
          <t>2025-12-07</t>
        </is>
      </c>
      <c r="B47" s="8" t="inlineStr">
        <is>
          <t>Jus de Mangue</t>
        </is>
      </c>
      <c r="C47" s="8" t="inlineStr">
        <is>
          <t>Ouest</t>
        </is>
      </c>
      <c r="D47" s="8" t="inlineStr">
        <is>
          <t>En ligne</t>
        </is>
      </c>
      <c r="E47" s="23" t="n">
        <v>3</v>
      </c>
      <c r="F47" s="23" t="n">
        <v>1190</v>
      </c>
      <c r="G47" s="23" t="n">
        <v>3570</v>
      </c>
    </row>
    <row r="48">
      <c r="A48" s="5" t="inlineStr">
        <is>
          <t>2025-12-06</t>
        </is>
      </c>
      <c r="B48" s="5" t="inlineStr">
        <is>
          <t>Jus de Gingembre</t>
        </is>
      </c>
      <c r="C48" s="5" t="inlineStr">
        <is>
          <t>Sud-Ouest</t>
        </is>
      </c>
      <c r="D48" s="5" t="inlineStr">
        <is>
          <t>Marché</t>
        </is>
      </c>
      <c r="E48" s="21" t="n">
        <v>14</v>
      </c>
      <c r="F48" s="21" t="n">
        <v>755</v>
      </c>
      <c r="G48" s="21" t="n">
        <v>10570</v>
      </c>
    </row>
    <row r="49">
      <c r="A49" s="8" t="inlineStr">
        <is>
          <t>2025-12-05</t>
        </is>
      </c>
      <c r="B49" s="8" t="inlineStr">
        <is>
          <t>Jus Mixte</t>
        </is>
      </c>
      <c r="C49" s="8" t="inlineStr">
        <is>
          <t>Centre</t>
        </is>
      </c>
      <c r="D49" s="8" t="inlineStr">
        <is>
          <t>Magasin</t>
        </is>
      </c>
      <c r="E49" s="23" t="n">
        <v>9</v>
      </c>
      <c r="F49" s="23" t="n">
        <v>942</v>
      </c>
      <c r="G49" s="23" t="n">
        <v>8478</v>
      </c>
    </row>
    <row r="50">
      <c r="A50" s="5" t="inlineStr">
        <is>
          <t>2025-12-04</t>
        </is>
      </c>
      <c r="B50" s="5" t="inlineStr">
        <is>
          <t>Jus de Papaye</t>
        </is>
      </c>
      <c r="C50" s="5" t="inlineStr">
        <is>
          <t>Littoral</t>
        </is>
      </c>
      <c r="D50" s="5" t="inlineStr">
        <is>
          <t>Distributeur</t>
        </is>
      </c>
      <c r="E50" s="21" t="n">
        <v>17</v>
      </c>
      <c r="F50" s="21" t="n">
        <v>955</v>
      </c>
      <c r="G50" s="21" t="n">
        <v>16235</v>
      </c>
    </row>
    <row r="51">
      <c r="A51" s="8" t="inlineStr">
        <is>
          <t>2025-12-03</t>
        </is>
      </c>
      <c r="B51" s="8" t="inlineStr">
        <is>
          <t>Jus d'Ananas</t>
        </is>
      </c>
      <c r="C51" s="8" t="inlineStr">
        <is>
          <t>Est</t>
        </is>
      </c>
      <c r="D51" s="8" t="inlineStr">
        <is>
          <t>Marché</t>
        </is>
      </c>
      <c r="E51" s="23" t="n">
        <v>8</v>
      </c>
      <c r="F51" s="23" t="n">
        <v>625</v>
      </c>
      <c r="G51" s="23" t="n">
        <v>5000</v>
      </c>
    </row>
    <row r="52">
      <c r="A52" s="5" t="inlineStr">
        <is>
          <t>2025-12-02</t>
        </is>
      </c>
      <c r="B52" s="5" t="inlineStr">
        <is>
          <t>Jus de Mangue</t>
        </is>
      </c>
      <c r="C52" s="5" t="inlineStr">
        <is>
          <t>Centre</t>
        </is>
      </c>
      <c r="D52" s="5" t="inlineStr">
        <is>
          <t>Supermarché</t>
        </is>
      </c>
      <c r="E52" s="21" t="n">
        <v>13</v>
      </c>
      <c r="F52" s="21" t="n">
        <v>1165</v>
      </c>
      <c r="G52" s="21" t="n">
        <v>15145</v>
      </c>
    </row>
    <row r="53">
      <c r="A53" s="8" t="inlineStr">
        <is>
          <t>2025-12-01</t>
        </is>
      </c>
      <c r="B53" s="8" t="inlineStr">
        <is>
          <t>Jus de Goyave</t>
        </is>
      </c>
      <c r="C53" s="8" t="inlineStr">
        <is>
          <t>Ouest</t>
        </is>
      </c>
      <c r="D53" s="8" t="inlineStr">
        <is>
          <t>Magasin</t>
        </is>
      </c>
      <c r="E53" s="23" t="n">
        <v>5</v>
      </c>
      <c r="F53" s="23" t="n">
        <v>718</v>
      </c>
      <c r="G53" s="23" t="n">
        <v>3590</v>
      </c>
    </row>
    <row r="54">
      <c r="A54" s="17" t="inlineStr">
        <is>
          <t>TOTAL ÉCHANTILLON</t>
        </is>
      </c>
      <c r="B54" s="25" t="n"/>
      <c r="C54" s="25" t="n"/>
      <c r="D54" s="25" t="n"/>
      <c r="E54" s="24">
        <f>SUM(E4:E53)</f>
        <v/>
      </c>
      <c r="F54" s="25" t="n"/>
      <c r="G54" s="24">
        <f>SUM(G4:G53)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 ht="32" customHeight="1">
      <c r="A1" s="19" t="inlineStr">
        <is>
          <t>📈 CA MENSUEL (Jan 2023 – Déc 2025)</t>
        </is>
      </c>
    </row>
    <row r="3">
      <c r="A3" s="4" t="inlineStr">
        <is>
          <t>Mois</t>
        </is>
      </c>
      <c r="B3" s="4" t="inlineStr">
        <is>
          <t>CA (FCFA)</t>
        </is>
      </c>
      <c r="C3" s="4" t="inlineStr">
        <is>
          <t>Variation M/M</t>
        </is>
      </c>
    </row>
    <row r="4">
      <c r="A4" s="5" t="inlineStr">
        <is>
          <t>Jan 2023</t>
        </is>
      </c>
      <c r="B4" s="21" t="n">
        <v>680000</v>
      </c>
      <c r="C4" s="7" t="inlineStr">
        <is>
          <t>—</t>
        </is>
      </c>
    </row>
    <row r="5">
      <c r="A5" s="8" t="inlineStr">
        <is>
          <t>Fév 2023</t>
        </is>
      </c>
      <c r="B5" s="23" t="n">
        <v>720000</v>
      </c>
      <c r="C5" s="15">
        <f>B5/B4-1</f>
        <v/>
      </c>
    </row>
    <row r="6">
      <c r="A6" s="5" t="inlineStr">
        <is>
          <t>Mar 2023</t>
        </is>
      </c>
      <c r="B6" s="21" t="n">
        <v>740000</v>
      </c>
      <c r="C6" s="16">
        <f>B6/B5-1</f>
        <v/>
      </c>
    </row>
    <row r="7">
      <c r="A7" s="8" t="inlineStr">
        <is>
          <t>Avr 2023</t>
        </is>
      </c>
      <c r="B7" s="23" t="n">
        <v>690000</v>
      </c>
      <c r="C7" s="15">
        <f>B7/B6-1</f>
        <v/>
      </c>
    </row>
    <row r="8">
      <c r="A8" s="5" t="inlineStr">
        <is>
          <t>Mai 2023</t>
        </is>
      </c>
      <c r="B8" s="21" t="n">
        <v>710000</v>
      </c>
      <c r="C8" s="16">
        <f>B8/B7-1</f>
        <v/>
      </c>
    </row>
    <row r="9">
      <c r="A9" s="8" t="inlineStr">
        <is>
          <t>Juin 2023</t>
        </is>
      </c>
      <c r="B9" s="23" t="n">
        <v>730000</v>
      </c>
      <c r="C9" s="15">
        <f>B9/B8-1</f>
        <v/>
      </c>
    </row>
    <row r="10">
      <c r="A10" s="5" t="inlineStr">
        <is>
          <t>Juil 2023</t>
        </is>
      </c>
      <c r="B10" s="21" t="n">
        <v>750000</v>
      </c>
      <c r="C10" s="16">
        <f>B10/B9-1</f>
        <v/>
      </c>
    </row>
    <row r="11">
      <c r="A11" s="8" t="inlineStr">
        <is>
          <t>Aoû 2023</t>
        </is>
      </c>
      <c r="B11" s="23" t="n">
        <v>760000</v>
      </c>
      <c r="C11" s="15">
        <f>B11/B10-1</f>
        <v/>
      </c>
    </row>
    <row r="12">
      <c r="A12" s="5" t="inlineStr">
        <is>
          <t>Sep 2023</t>
        </is>
      </c>
      <c r="B12" s="21" t="n">
        <v>730000</v>
      </c>
      <c r="C12" s="16">
        <f>B12/B11-1</f>
        <v/>
      </c>
    </row>
    <row r="13">
      <c r="A13" s="8" t="inlineStr">
        <is>
          <t>Oct 2023</t>
        </is>
      </c>
      <c r="B13" s="23" t="n">
        <v>740000</v>
      </c>
      <c r="C13" s="15">
        <f>B13/B12-1</f>
        <v/>
      </c>
    </row>
    <row r="14">
      <c r="A14" s="5" t="inlineStr">
        <is>
          <t>Nov 2023</t>
        </is>
      </c>
      <c r="B14" s="21" t="n">
        <v>750000</v>
      </c>
      <c r="C14" s="16">
        <f>B14/B13-1</f>
        <v/>
      </c>
    </row>
    <row r="15">
      <c r="A15" s="8" t="inlineStr">
        <is>
          <t>Déc 2023</t>
        </is>
      </c>
      <c r="B15" s="23" t="n">
        <v>756325</v>
      </c>
      <c r="C15" s="15">
        <f>B15/B14-1</f>
        <v/>
      </c>
    </row>
    <row r="16">
      <c r="A16" s="5" t="inlineStr">
        <is>
          <t>Jan 2024</t>
        </is>
      </c>
      <c r="B16" s="21" t="n">
        <v>730000</v>
      </c>
      <c r="C16" s="16">
        <f>B16/B15-1</f>
        <v/>
      </c>
    </row>
    <row r="17">
      <c r="A17" s="8" t="inlineStr">
        <is>
          <t>Fév 2024</t>
        </is>
      </c>
      <c r="B17" s="23" t="n">
        <v>760000</v>
      </c>
      <c r="C17" s="15">
        <f>B17/B16-1</f>
        <v/>
      </c>
    </row>
    <row r="18">
      <c r="A18" s="5" t="inlineStr">
        <is>
          <t>Mar 2024</t>
        </is>
      </c>
      <c r="B18" s="21" t="n">
        <v>780000</v>
      </c>
      <c r="C18" s="16">
        <f>B18/B17-1</f>
        <v/>
      </c>
    </row>
    <row r="19">
      <c r="A19" s="8" t="inlineStr">
        <is>
          <t>Avr 2024</t>
        </is>
      </c>
      <c r="B19" s="23" t="n">
        <v>750000</v>
      </c>
      <c r="C19" s="15">
        <f>B19/B18-1</f>
        <v/>
      </c>
    </row>
    <row r="20">
      <c r="A20" s="5" t="inlineStr">
        <is>
          <t>Mai 2024</t>
        </is>
      </c>
      <c r="B20" s="21" t="n">
        <v>780000</v>
      </c>
      <c r="C20" s="16">
        <f>B20/B19-1</f>
        <v/>
      </c>
    </row>
    <row r="21">
      <c r="A21" s="8" t="inlineStr">
        <is>
          <t>Juin 2024</t>
        </is>
      </c>
      <c r="B21" s="23" t="n">
        <v>800000</v>
      </c>
      <c r="C21" s="15">
        <f>B21/B20-1</f>
        <v/>
      </c>
    </row>
    <row r="22">
      <c r="A22" s="5" t="inlineStr">
        <is>
          <t>Juil 2024</t>
        </is>
      </c>
      <c r="B22" s="21" t="n">
        <v>790000</v>
      </c>
      <c r="C22" s="16">
        <f>B22/B21-1</f>
        <v/>
      </c>
    </row>
    <row r="23">
      <c r="A23" s="8" t="inlineStr">
        <is>
          <t>Aoû 2024</t>
        </is>
      </c>
      <c r="B23" s="23" t="n">
        <v>810000</v>
      </c>
      <c r="C23" s="15">
        <f>B23/B22-1</f>
        <v/>
      </c>
    </row>
    <row r="24">
      <c r="A24" s="5" t="inlineStr">
        <is>
          <t>Sep 2024</t>
        </is>
      </c>
      <c r="B24" s="21" t="n">
        <v>760000</v>
      </c>
      <c r="C24" s="16">
        <f>B24/B23-1</f>
        <v/>
      </c>
    </row>
    <row r="25">
      <c r="A25" s="8" t="inlineStr">
        <is>
          <t>Oct 2024</t>
        </is>
      </c>
      <c r="B25" s="23" t="n">
        <v>770000</v>
      </c>
      <c r="C25" s="15">
        <f>B25/B24-1</f>
        <v/>
      </c>
    </row>
    <row r="26">
      <c r="A26" s="5" t="inlineStr">
        <is>
          <t>Nov 2024</t>
        </is>
      </c>
      <c r="B26" s="21" t="n">
        <v>780000</v>
      </c>
      <c r="C26" s="16">
        <f>B26/B25-1</f>
        <v/>
      </c>
    </row>
    <row r="27">
      <c r="A27" s="8" t="inlineStr">
        <is>
          <t>Déc 2024</t>
        </is>
      </c>
      <c r="B27" s="23" t="n">
        <v>703917</v>
      </c>
      <c r="C27" s="15">
        <f>B27/B26-1</f>
        <v/>
      </c>
    </row>
    <row r="28">
      <c r="A28" s="5" t="inlineStr">
        <is>
          <t>Jan 2025</t>
        </is>
      </c>
      <c r="B28" s="21" t="n">
        <v>720000</v>
      </c>
      <c r="C28" s="16">
        <f>B28/B27-1</f>
        <v/>
      </c>
    </row>
    <row r="29">
      <c r="A29" s="8" t="inlineStr">
        <is>
          <t>Fév 2025</t>
        </is>
      </c>
      <c r="B29" s="23" t="n">
        <v>760000</v>
      </c>
      <c r="C29" s="15">
        <f>B29/B28-1</f>
        <v/>
      </c>
    </row>
    <row r="30">
      <c r="A30" s="5" t="inlineStr">
        <is>
          <t>Mar 2025</t>
        </is>
      </c>
      <c r="B30" s="21" t="n">
        <v>780000</v>
      </c>
      <c r="C30" s="16">
        <f>B30/B29-1</f>
        <v/>
      </c>
    </row>
    <row r="31">
      <c r="A31" s="8" t="inlineStr">
        <is>
          <t>Avr 2025</t>
        </is>
      </c>
      <c r="B31" s="23" t="n">
        <v>750000</v>
      </c>
      <c r="C31" s="15">
        <f>B31/B30-1</f>
        <v/>
      </c>
    </row>
    <row r="32">
      <c r="A32" s="5" t="inlineStr">
        <is>
          <t>Mai 2025</t>
        </is>
      </c>
      <c r="B32" s="21" t="n">
        <v>770000</v>
      </c>
      <c r="C32" s="16">
        <f>B32/B31-1</f>
        <v/>
      </c>
    </row>
    <row r="33">
      <c r="A33" s="8" t="inlineStr">
        <is>
          <t>Juin 2025</t>
        </is>
      </c>
      <c r="B33" s="23" t="n">
        <v>790000</v>
      </c>
      <c r="C33" s="15">
        <f>B33/B32-1</f>
        <v/>
      </c>
    </row>
    <row r="34">
      <c r="A34" s="5" t="inlineStr">
        <is>
          <t>Juil 2025</t>
        </is>
      </c>
      <c r="B34" s="21" t="n">
        <v>810000</v>
      </c>
      <c r="C34" s="16">
        <f>B34/B33-1</f>
        <v/>
      </c>
    </row>
    <row r="35">
      <c r="A35" s="8" t="inlineStr">
        <is>
          <t>Aoû 2025</t>
        </is>
      </c>
      <c r="B35" s="23" t="n">
        <v>820000</v>
      </c>
      <c r="C35" s="15">
        <f>B35/B34-1</f>
        <v/>
      </c>
    </row>
    <row r="36">
      <c r="A36" s="5" t="inlineStr">
        <is>
          <t>Sep 2025</t>
        </is>
      </c>
      <c r="B36" s="21" t="n">
        <v>790000</v>
      </c>
      <c r="C36" s="16">
        <f>B36/B35-1</f>
        <v/>
      </c>
    </row>
    <row r="37">
      <c r="A37" s="8" t="inlineStr">
        <is>
          <t>Oct 2025</t>
        </is>
      </c>
      <c r="B37" s="23" t="n">
        <v>800000</v>
      </c>
      <c r="C37" s="15">
        <f>B37/B36-1</f>
        <v/>
      </c>
    </row>
    <row r="38">
      <c r="A38" s="5" t="inlineStr">
        <is>
          <t>Nov 2025</t>
        </is>
      </c>
      <c r="B38" s="21" t="n">
        <v>810000</v>
      </c>
      <c r="C38" s="16">
        <f>B38/B37-1</f>
        <v/>
      </c>
    </row>
    <row r="39">
      <c r="A39" s="8" t="inlineStr">
        <is>
          <t>Déc 2025</t>
        </is>
      </c>
      <c r="B39" s="23" t="n">
        <v>646808</v>
      </c>
      <c r="C39" s="15">
        <f>B39/B38-1</f>
        <v/>
      </c>
    </row>
    <row r="40">
      <c r="A40" s="17" t="inlineStr">
        <is>
          <t>TOTAL 3 ANS</t>
        </is>
      </c>
      <c r="B40" s="18">
        <f>SUM(B4:B39)</f>
        <v/>
      </c>
      <c r="C40" s="26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2026-03-30T08:00:18Z</dcterms:created>
  <dcterms:modified xmlns:dcterms="http://purl.org/dc/terms/" xmlns:xsi="http://www.w3.org/2001/XMLSchema-instance" xsi:type="dcterms:W3CDTF">2026-03-30T08:00:18Z</dcterms:modified>
</cp:coreProperties>
</file>